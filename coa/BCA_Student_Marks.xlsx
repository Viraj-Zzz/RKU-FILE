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DB60D61-09ED-4C93-BD51-600556AA6894}" xr6:coauthVersionLast="47" xr6:coauthVersionMax="47" xr10:uidLastSave="{00000000-0000-0000-0000-000000000000}"/>
  <bookViews>
    <workbookView xWindow="-120" yWindow="-120" windowWidth="20730" windowHeight="11040" xr2:uid="{74AAADFC-B78C-4C4A-BF87-D3DD040B5D0C}"/>
  </bookViews>
  <sheets>
    <sheet name="STUDENT MARKS" sheetId="3" r:id="rId1"/>
    <sheet name="ATENDENCE" sheetId="7" r:id="rId2"/>
    <sheet name="RESULT" sheetId="8" r:id="rId3"/>
    <sheet name="SUMMARY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H10" i="3"/>
  <c r="H11" i="3"/>
  <c r="H12" i="3"/>
  <c r="H13" i="3"/>
  <c r="H14" i="3"/>
  <c r="H15" i="3"/>
  <c r="H16" i="3"/>
  <c r="H9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<sst xmlns="http://schemas.openxmlformats.org/spreadsheetml/2006/main" count="39" uniqueCount="28">
  <si>
    <t>Roll No.</t>
  </si>
  <si>
    <t>Division</t>
  </si>
  <si>
    <t>Aarav Shah</t>
  </si>
  <si>
    <t>A</t>
  </si>
  <si>
    <t>Diya Patel</t>
  </si>
  <si>
    <t>Harshil Mehta</t>
  </si>
  <si>
    <t>Khushi Vaghela</t>
  </si>
  <si>
    <t>B</t>
  </si>
  <si>
    <t>Manan Desai</t>
  </si>
  <si>
    <t>Nehal Parmar</t>
  </si>
  <si>
    <t>Pooja Solanki</t>
  </si>
  <si>
    <t>Rohan Gadhvi</t>
  </si>
  <si>
    <t>Shreya Jadeja</t>
  </si>
  <si>
    <t>C</t>
  </si>
  <si>
    <t>Tanmay Bhatia</t>
  </si>
  <si>
    <t>Unnati Acharya</t>
  </si>
  <si>
    <t>Vivaan Rathod</t>
  </si>
  <si>
    <t>Zeel Patel</t>
  </si>
  <si>
    <t>D</t>
  </si>
  <si>
    <t>Ishwar Trivedi</t>
  </si>
  <si>
    <t>Kabir jain</t>
  </si>
  <si>
    <t>Enlish</t>
  </si>
  <si>
    <t>Math</t>
  </si>
  <si>
    <t>C.O.</t>
  </si>
  <si>
    <t>C-prog..</t>
  </si>
  <si>
    <t>Student detail</t>
  </si>
  <si>
    <t>Total marks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</si>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</sst>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1"/>
      <name val="Akaash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D477-420D-41C7-B471-AE4CA22AAF7F}">
  <sheetPr>
    <tabColor theme="7" tint="-0.499984740745262"/>
  </sheetPr>
  <dimension ref="A1:I16"/>
  <sheetViews>
    <sheetView tabSelected="1" workbookViewId="0">
      <selection activeCell="L8" sqref="L8"/>
    </sheetView>
  </sheetViews>
  <sheetFormatPr defaultRowHeight="15" x14ac:dyDescent="0.25"/>
  <cols>
    <col min="1" max="1" width="8.28515625" customWidth="1"/>
    <col min="2" max="2" width="16.42578125" customWidth="1"/>
    <col min="3" max="3" width="13.5703125" customWidth="1"/>
    <col min="4" max="4" width="15.5703125" customWidth="1"/>
    <col min="5" max="5" width="22.5703125" customWidth="1"/>
    <col min="6" max="6" width="13.28515625" customWidth="1"/>
  </cols>
  <sheetData>
    <row r="1" spans="1:9" x14ac:dyDescent="0.25">
      <c r="A1" s="3" t="s">
        <v>0</v>
      </c>
      <c r="B1" s="3" t="s">
        <v>25</v>
      </c>
      <c r="C1" s="3" t="s">
        <v>1</v>
      </c>
      <c r="D1" s="3" t="s">
        <v>24</v>
      </c>
      <c r="E1" s="3" t="s">
        <v>23</v>
      </c>
      <c r="F1" s="3" t="s">
        <v>22</v>
      </c>
      <c r="G1" s="3" t="s">
        <v>21</v>
      </c>
      <c r="H1" s="3" t="s">
        <v>26</v>
      </c>
      <c r="I1" s="3" t="s">
        <v>27</v>
      </c>
    </row>
    <row r="2" spans="1:9" x14ac:dyDescent="0.25">
      <c r="A2" s="2">
        <v>1</v>
      </c>
      <c r="B2" s="2" t="s">
        <v>2</v>
      </c>
      <c r="C2" s="2" t="s">
        <v>3</v>
      </c>
      <c r="D2" s="2">
        <v>78</v>
      </c>
      <c r="E2" s="2">
        <v>65</v>
      </c>
      <c r="F2" s="2">
        <v>82</v>
      </c>
      <c r="G2" s="2">
        <v>71</v>
      </c>
      <c r="H2" s="1">
        <f>SUM(D2:G2)</f>
        <v>296</v>
      </c>
      <c r="I2" s="1">
        <f>AVERAGE(D2:H2)</f>
        <v>118.4</v>
      </c>
    </row>
    <row r="3" spans="1:9" x14ac:dyDescent="0.25">
      <c r="A3" s="2">
        <v>2</v>
      </c>
      <c r="B3" s="2" t="s">
        <v>4</v>
      </c>
      <c r="C3" s="2" t="s">
        <v>7</v>
      </c>
      <c r="D3" s="2">
        <v>45</v>
      </c>
      <c r="E3" s="2">
        <v>52</v>
      </c>
      <c r="F3" s="2">
        <v>41</v>
      </c>
      <c r="G3" s="2">
        <v>58</v>
      </c>
      <c r="H3" s="1">
        <f>SUM(D3:G3)</f>
        <v>196</v>
      </c>
      <c r="I3" s="1">
        <f>AVERAGE(D3:H3)</f>
        <v>78.400000000000006</v>
      </c>
    </row>
    <row r="4" spans="1:9" x14ac:dyDescent="0.25">
      <c r="A4" s="2">
        <v>3</v>
      </c>
      <c r="B4" s="2" t="s">
        <v>5</v>
      </c>
      <c r="C4" s="2" t="s">
        <v>3</v>
      </c>
      <c r="D4" s="2">
        <v>88</v>
      </c>
      <c r="E4" s="2">
        <v>79</v>
      </c>
      <c r="F4" s="2">
        <v>91</v>
      </c>
      <c r="G4" s="2">
        <v>84</v>
      </c>
      <c r="H4" s="1">
        <f>SUM(D4:G4)</f>
        <v>342</v>
      </c>
      <c r="I4" s="1">
        <f>AVERAGE(D4:H4)</f>
        <v>136.80000000000001</v>
      </c>
    </row>
    <row r="5" spans="1:9" x14ac:dyDescent="0.25">
      <c r="A5" s="2">
        <v>4</v>
      </c>
      <c r="B5" s="2" t="s">
        <v>19</v>
      </c>
      <c r="C5" s="2" t="s">
        <v>7</v>
      </c>
      <c r="D5" s="2">
        <v>62</v>
      </c>
      <c r="E5" s="2">
        <v>70</v>
      </c>
      <c r="F5" s="2">
        <v>58</v>
      </c>
      <c r="G5" s="2">
        <v>66</v>
      </c>
      <c r="H5" s="1">
        <f>SUM(D5:G5)</f>
        <v>256</v>
      </c>
      <c r="I5" s="1">
        <f>AVERAGE(D5:H5)</f>
        <v>102.4</v>
      </c>
    </row>
    <row r="6" spans="1:9" x14ac:dyDescent="0.25">
      <c r="A6" s="2">
        <v>5</v>
      </c>
      <c r="B6" s="2" t="s">
        <v>20</v>
      </c>
      <c r="C6" s="2" t="s">
        <v>3</v>
      </c>
      <c r="D6" s="2">
        <v>92</v>
      </c>
      <c r="E6" s="2">
        <v>85</v>
      </c>
      <c r="F6" s="2">
        <v>89</v>
      </c>
      <c r="G6" s="2">
        <v>78</v>
      </c>
      <c r="H6" s="1">
        <f>SUM(D6:G6)</f>
        <v>344</v>
      </c>
      <c r="I6" s="1">
        <f>AVERAGE(D6:H6)</f>
        <v>137.6</v>
      </c>
    </row>
    <row r="7" spans="1:9" x14ac:dyDescent="0.25">
      <c r="A7" s="2">
        <v>6</v>
      </c>
      <c r="B7" s="2" t="s">
        <v>6</v>
      </c>
      <c r="C7" s="2" t="s">
        <v>13</v>
      </c>
      <c r="D7" s="2">
        <v>55</v>
      </c>
      <c r="E7" s="2">
        <v>61</v>
      </c>
      <c r="F7" s="2">
        <v>48</v>
      </c>
      <c r="G7" s="2">
        <v>63</v>
      </c>
      <c r="H7" s="1">
        <f>SUM(D7:G7)</f>
        <v>227</v>
      </c>
      <c r="I7" s="1">
        <f>AVERAGE(D7:H7)</f>
        <v>90.8</v>
      </c>
    </row>
    <row r="8" spans="1:9" x14ac:dyDescent="0.25">
      <c r="A8" s="2">
        <v>7</v>
      </c>
      <c r="B8" s="2" t="s">
        <v>8</v>
      </c>
      <c r="C8" s="2" t="s">
        <v>7</v>
      </c>
      <c r="D8" s="2">
        <v>71</v>
      </c>
      <c r="E8" s="2">
        <v>68</v>
      </c>
      <c r="F8" s="2">
        <v>74</v>
      </c>
      <c r="G8" s="2">
        <v>69</v>
      </c>
      <c r="H8" s="1">
        <f>SUM(D8:G8)</f>
        <v>282</v>
      </c>
      <c r="I8" s="1">
        <f>AVERAGE(D8:H8)</f>
        <v>112.8</v>
      </c>
    </row>
    <row r="9" spans="1:9" x14ac:dyDescent="0.25">
      <c r="A9" s="2">
        <v>8</v>
      </c>
      <c r="B9" s="2" t="s">
        <v>9</v>
      </c>
      <c r="C9" s="2" t="s">
        <v>3</v>
      </c>
      <c r="D9" s="2">
        <v>38</v>
      </c>
      <c r="E9" s="2">
        <v>45</v>
      </c>
      <c r="F9" s="2">
        <v>35</v>
      </c>
      <c r="G9" s="2">
        <v>50</v>
      </c>
      <c r="H9" s="1">
        <f>SUM(D9:G9)</f>
        <v>168</v>
      </c>
      <c r="I9" s="1">
        <f>AVERAGE(D9:H9)</f>
        <v>67.2</v>
      </c>
    </row>
    <row r="10" spans="1:9" x14ac:dyDescent="0.25">
      <c r="A10" s="2">
        <v>9</v>
      </c>
      <c r="B10" s="2" t="s">
        <v>10</v>
      </c>
      <c r="C10" s="2" t="s">
        <v>7</v>
      </c>
      <c r="D10" s="2">
        <v>83</v>
      </c>
      <c r="E10" s="2">
        <v>77</v>
      </c>
      <c r="F10" s="2">
        <v>80</v>
      </c>
      <c r="G10" s="2">
        <v>85</v>
      </c>
      <c r="H10" s="1">
        <f>SUM(D10:G10)</f>
        <v>325</v>
      </c>
      <c r="I10" s="1">
        <f>AVERAGE(D10:H10)</f>
        <v>130</v>
      </c>
    </row>
    <row r="11" spans="1:9" x14ac:dyDescent="0.25">
      <c r="A11" s="2">
        <v>10</v>
      </c>
      <c r="B11" s="2" t="s">
        <v>11</v>
      </c>
      <c r="C11" s="2" t="s">
        <v>7</v>
      </c>
      <c r="D11" s="2">
        <v>67</v>
      </c>
      <c r="E11" s="2">
        <v>59</v>
      </c>
      <c r="F11" s="2">
        <v>63</v>
      </c>
      <c r="G11" s="2">
        <v>60</v>
      </c>
      <c r="H11" s="1">
        <f>SUM(D11:G11)</f>
        <v>249</v>
      </c>
      <c r="I11" s="1">
        <f>AVERAGE(D11:H11)</f>
        <v>99.6</v>
      </c>
    </row>
    <row r="12" spans="1:9" x14ac:dyDescent="0.25">
      <c r="A12" s="2">
        <v>11</v>
      </c>
      <c r="B12" s="2" t="s">
        <v>12</v>
      </c>
      <c r="C12" s="2" t="s">
        <v>13</v>
      </c>
      <c r="D12" s="2">
        <v>80</v>
      </c>
      <c r="E12" s="2">
        <v>82</v>
      </c>
      <c r="F12" s="2">
        <v>76</v>
      </c>
      <c r="G12" s="2">
        <v>88</v>
      </c>
      <c r="H12" s="1">
        <f>SUM(D12:G12)</f>
        <v>326</v>
      </c>
      <c r="I12" s="1">
        <f>AVERAGE(D12:H12)</f>
        <v>130.4</v>
      </c>
    </row>
    <row r="13" spans="1:9" x14ac:dyDescent="0.25">
      <c r="A13" s="2">
        <v>12</v>
      </c>
      <c r="B13" s="2" t="s">
        <v>14</v>
      </c>
      <c r="C13" s="2" t="s">
        <v>18</v>
      </c>
      <c r="D13" s="2">
        <v>53</v>
      </c>
      <c r="E13" s="2">
        <v>49</v>
      </c>
      <c r="F13" s="2">
        <v>55</v>
      </c>
      <c r="G13" s="2">
        <v>52</v>
      </c>
      <c r="H13" s="1">
        <f>SUM(D13:G13)</f>
        <v>209</v>
      </c>
      <c r="I13" s="1">
        <f>AVERAGE(D13:H13)</f>
        <v>83.6</v>
      </c>
    </row>
    <row r="14" spans="1:9" x14ac:dyDescent="0.25">
      <c r="A14" s="2">
        <v>13</v>
      </c>
      <c r="B14" s="2" t="s">
        <v>15</v>
      </c>
      <c r="C14" s="2" t="s">
        <v>13</v>
      </c>
      <c r="D14" s="2">
        <v>95</v>
      </c>
      <c r="E14" s="2">
        <v>90</v>
      </c>
      <c r="F14" s="2">
        <v>94</v>
      </c>
      <c r="G14" s="2">
        <v>91</v>
      </c>
      <c r="H14" s="1">
        <f>SUM(D14:G14)</f>
        <v>370</v>
      </c>
      <c r="I14" s="1">
        <f>AVERAGE(D14:H14)</f>
        <v>148</v>
      </c>
    </row>
    <row r="15" spans="1:9" x14ac:dyDescent="0.25">
      <c r="A15" s="2">
        <v>14</v>
      </c>
      <c r="B15" s="2" t="s">
        <v>16</v>
      </c>
      <c r="C15" s="2" t="s">
        <v>18</v>
      </c>
      <c r="D15" s="2">
        <v>64</v>
      </c>
      <c r="E15" s="2">
        <v>72</v>
      </c>
      <c r="F15" s="2">
        <v>67</v>
      </c>
      <c r="G15" s="2">
        <v>59</v>
      </c>
      <c r="H15" s="1">
        <f>SUM(D15:G15)</f>
        <v>262</v>
      </c>
      <c r="I15" s="1">
        <f>AVERAGE(D15:H15)</f>
        <v>104.8</v>
      </c>
    </row>
    <row r="16" spans="1:9" x14ac:dyDescent="0.25">
      <c r="A16" s="2">
        <v>15</v>
      </c>
      <c r="B16" s="2" t="s">
        <v>17</v>
      </c>
      <c r="C16" s="2" t="s">
        <v>13</v>
      </c>
      <c r="D16" s="2">
        <v>76</v>
      </c>
      <c r="E16" s="2">
        <v>63</v>
      </c>
      <c r="F16" s="2">
        <v>70</v>
      </c>
      <c r="G16" s="2">
        <v>73</v>
      </c>
      <c r="H16" s="1">
        <f>SUM(D16:G16)</f>
        <v>282</v>
      </c>
      <c r="I16" s="1">
        <f>AVERAGE(D16:H16)</f>
        <v>112.8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63D8-8B6D-470B-94E4-987F65890FA4}">
  <sheetPr>
    <tabColor theme="2" tint="-0.74999237037263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54F5-E678-4273-94F6-4289B7D70BF2}">
  <sheetPr>
    <tabColor theme="7" tint="-0.249977111117893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53939-DB4E-4630-97C8-17410FE100B9}">
  <sheetPr>
    <tabColor theme="9" tint="-0.249977111117893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MARKS</vt:lpstr>
      <vt:lpstr>ATENDENCE</vt:lpstr>
      <vt:lpstr>RESULT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l10pc10</dc:creator>
  <cp:lastModifiedBy>l10pc10</cp:lastModifiedBy>
  <dcterms:created xsi:type="dcterms:W3CDTF">2026-09-21T09:07:52Z</dcterms:created>
  <dcterms:modified xsi:type="dcterms:W3CDTF">2026-09-21T09:53:49Z</dcterms:modified>
</cp:coreProperties>
</file>